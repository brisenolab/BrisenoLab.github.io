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a/Downloads/"/>
    </mc:Choice>
  </mc:AlternateContent>
  <xr:revisionPtr revIDLastSave="0" documentId="13_ncr:1_{CAA911DD-E9C3-CE48-AC14-750AA340D4C7}" xr6:coauthVersionLast="47" xr6:coauthVersionMax="47" xr10:uidLastSave="{00000000-0000-0000-0000-000000000000}"/>
  <bookViews>
    <workbookView xWindow="27480" yWindow="980" windowWidth="26120" windowHeight="20780" xr2:uid="{00000000-000D-0000-FFFF-FFFF00000000}"/>
  </bookViews>
  <sheets>
    <sheet name="Sheet 1 - co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" l="1" a="1"/>
  <c r="AO4" i="1" a="1"/>
  <c r="AO5" i="1" a="1"/>
  <c r="AO6" i="1" a="1"/>
  <c r="AO7" i="1" a="1"/>
  <c r="AO8" i="1" a="1"/>
  <c r="AO9" i="1" a="1"/>
  <c r="AO10" i="1" a="1"/>
  <c r="AO11" i="1" a="1"/>
  <c r="AO12" i="1" a="1"/>
  <c r="AO13" i="1" a="1"/>
  <c r="AO14" i="1" a="1"/>
  <c r="AO15" i="1" a="1"/>
  <c r="AO16" i="1" a="1"/>
  <c r="AO17" i="1" a="1"/>
  <c r="AO18" i="1" a="1"/>
  <c r="AO19" i="1" a="1"/>
  <c r="AO20" i="1" a="1"/>
  <c r="AO21" i="1" a="1"/>
  <c r="AO22" i="1" a="1"/>
  <c r="AO23" i="1" a="1"/>
  <c r="AO24" i="1" a="1"/>
  <c r="AO25" i="1" a="1"/>
  <c r="AO26" i="1" a="1"/>
  <c r="AO27" i="1" a="1"/>
  <c r="AO28" i="1" a="1"/>
  <c r="AO29" i="1" a="1"/>
  <c r="AO30" i="1" a="1"/>
  <c r="AO31" i="1" a="1"/>
  <c r="AO32" i="1" a="1"/>
  <c r="AO33" i="1" a="1"/>
  <c r="AO2" i="1" a="1"/>
  <c r="AO23" i="1" l="1"/>
  <c r="Y23" i="1" s="1"/>
  <c r="AO32" i="1"/>
  <c r="Y32" i="1" s="1"/>
  <c r="AO21" i="1"/>
  <c r="Y21" i="1" s="1"/>
  <c r="AO22" i="1"/>
  <c r="Y22" i="1" s="1"/>
  <c r="AO28" i="1"/>
  <c r="Y28" i="1" s="1"/>
  <c r="AO2" i="1"/>
  <c r="Y2" i="1" s="1"/>
  <c r="AO9" i="1"/>
  <c r="Y9" i="1" s="1"/>
  <c r="AO16" i="1"/>
  <c r="Y16" i="1" s="1"/>
  <c r="AO12" i="1"/>
  <c r="Y12" i="1" s="1"/>
  <c r="AO13" i="1"/>
  <c r="Y13" i="1" s="1"/>
  <c r="AO17" i="1"/>
  <c r="Y17" i="1" s="1"/>
  <c r="AO27" i="1"/>
  <c r="Y27" i="1" s="1"/>
  <c r="AO8" i="1"/>
  <c r="Y8" i="1" s="1"/>
  <c r="AO20" i="1"/>
  <c r="Y20" i="1" s="1"/>
  <c r="AO31" i="1"/>
  <c r="Y31" i="1" s="1"/>
  <c r="AO5" i="1"/>
  <c r="Y5" i="1" s="1"/>
  <c r="AO29" i="1"/>
  <c r="Y29" i="1" s="1"/>
  <c r="AO7" i="1"/>
  <c r="Y7" i="1" s="1"/>
  <c r="AO18" i="1"/>
  <c r="Y18" i="1" s="1"/>
  <c r="AO30" i="1"/>
  <c r="Y30" i="1" s="1"/>
  <c r="AO3" i="1"/>
  <c r="Y3" i="1" s="1"/>
  <c r="AO26" i="1"/>
  <c r="Y26" i="1" s="1"/>
  <c r="AO11" i="1"/>
  <c r="Y11" i="1" s="1"/>
  <c r="AO24" i="1"/>
  <c r="Y24" i="1" s="1"/>
  <c r="AO6" i="1"/>
  <c r="Y6" i="1" s="1"/>
  <c r="AO19" i="1"/>
  <c r="Y19" i="1" s="1"/>
  <c r="AO33" i="1"/>
  <c r="Y33" i="1" s="1"/>
  <c r="AO4" i="1"/>
  <c r="Y4" i="1" s="1"/>
  <c r="AO14" i="1"/>
  <c r="Y14" i="1" s="1"/>
  <c r="AO15" i="1"/>
  <c r="Y15" i="1" s="1"/>
  <c r="AO25" i="1"/>
  <c r="Y25" i="1" s="1"/>
  <c r="AO10" i="1"/>
  <c r="Y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<sst xmlns="http://schemas.openxmlformats.org/spreadsheetml/2006/main" count="370" uniqueCount="132">
  <si>
    <t>Sales Order</t>
  </si>
  <si>
    <t>Reference</t>
  </si>
  <si>
    <t>Manufacturing ID</t>
  </si>
  <si>
    <t>Product</t>
  </si>
  <si>
    <t>Purification</t>
  </si>
  <si>
    <t>Sequence Name</t>
  </si>
  <si>
    <t>Sequence Notes</t>
  </si>
  <si>
    <t>Unit Size</t>
  </si>
  <si>
    <t>Bases</t>
  </si>
  <si>
    <t>Sequence</t>
  </si>
  <si>
    <t>nmoles/OD</t>
  </si>
  <si>
    <t>ug/OD</t>
  </si>
  <si>
    <t>Extinction Coefficient</t>
  </si>
  <si>
    <t>GC Content</t>
  </si>
  <si>
    <t>Tm (50mM NaCl) C</t>
  </si>
  <si>
    <t>Modifications and Services</t>
  </si>
  <si>
    <t>Final OD</t>
  </si>
  <si>
    <t>nmoles</t>
  </si>
  <si>
    <t>Conc</t>
  </si>
  <si>
    <t>Volume</t>
  </si>
  <si>
    <t>Buffer</t>
  </si>
  <si>
    <t>Print Date</t>
  </si>
  <si>
    <t>Well Position</t>
  </si>
  <si>
    <t>Add Water µL</t>
  </si>
  <si>
    <t>100 nmole DNA Oligo</t>
  </si>
  <si>
    <t>Standard Desalting</t>
  </si>
  <si>
    <t>27F-16S</t>
  </si>
  <si>
    <t>AGA GTT TGA TCC TGG CTC AG</t>
  </si>
  <si>
    <t xml:space="preserve"> Standard Desalting </t>
  </si>
  <si>
    <t xml:space="preserve">74.8 </t>
  </si>
  <si>
    <t>N/A</t>
  </si>
  <si>
    <t>6/1/2026 10:16:24 AM</t>
  </si>
  <si>
    <t>25 nmole DNA Oligo</t>
  </si>
  <si>
    <t>1492R-16S</t>
  </si>
  <si>
    <t>GGT TAC CTT GTT ACG ACT T</t>
  </si>
  <si>
    <t>37.2nmoles</t>
  </si>
  <si>
    <t>ITS1-FF</t>
  </si>
  <si>
    <t>TCC GTA GGT GAA CCT GCG G</t>
  </si>
  <si>
    <t>70.6nmoles</t>
  </si>
  <si>
    <t>ITS4-RF</t>
  </si>
  <si>
    <t>TCC TCC GCT TAT TGA TAT GC</t>
  </si>
  <si>
    <t>32.8nmoles</t>
  </si>
  <si>
    <t>ITS1F-FF</t>
  </si>
  <si>
    <t>CTT GGT CAT TTA GAG GAA GTA A</t>
  </si>
  <si>
    <t>25.1nmoles</t>
  </si>
  <si>
    <t>6/1/2026 10:16:25 AM</t>
  </si>
  <si>
    <t>IST2-FF</t>
  </si>
  <si>
    <t>GCT GCG TTC TTC ATC GAT GC</t>
  </si>
  <si>
    <t>19.7nmoles</t>
  </si>
  <si>
    <t>ITS4-FF</t>
  </si>
  <si>
    <t>28.2nmoles</t>
  </si>
  <si>
    <t>ITS5-FF</t>
  </si>
  <si>
    <t>GGA AGT AAA AGT CGT AAC AAG G</t>
  </si>
  <si>
    <t>35.8nmoles</t>
  </si>
  <si>
    <t>ITS6-FF</t>
  </si>
  <si>
    <t>GAA GGT GAA GTC GTA ACA AGG</t>
  </si>
  <si>
    <t>20.3nmoles</t>
  </si>
  <si>
    <t>ITS7-FF</t>
  </si>
  <si>
    <t>AGC GTT CTT CAT CGA TGT GC</t>
  </si>
  <si>
    <t>28nmoles</t>
  </si>
  <si>
    <t>rps10-FO</t>
  </si>
  <si>
    <t>GTT GGT TAG AGY ARA AGA CT</t>
  </si>
  <si>
    <t xml:space="preserve"> Standard Desalting  No ESI </t>
  </si>
  <si>
    <t>29nmoles</t>
  </si>
  <si>
    <t>rps10-RO</t>
  </si>
  <si>
    <t>RTA YAC TCT AAC CAA CTG AGT</t>
  </si>
  <si>
    <t>28.5nmoles</t>
  </si>
  <si>
    <t>rbcLa-FP</t>
  </si>
  <si>
    <t>ATG TCA CCA CAA ACA GAG ACT AAA GC</t>
  </si>
  <si>
    <t>25.4nmoles</t>
  </si>
  <si>
    <t>6/1/2026 10:16:26 AM</t>
  </si>
  <si>
    <t>rbcLa-RP</t>
  </si>
  <si>
    <t>GTA AAA TCA AGT CCA CCR CG</t>
  </si>
  <si>
    <t>27.4nmoles</t>
  </si>
  <si>
    <t>EF1-a_983F-FF</t>
  </si>
  <si>
    <t>GCY CCY GGH CAY CGT GAY TTY AT</t>
  </si>
  <si>
    <t>37nmoles</t>
  </si>
  <si>
    <t>EF1-a _2218R-RF</t>
  </si>
  <si>
    <t>ATG ACA CCR ACR GCR ACR GTY TG</t>
  </si>
  <si>
    <t>32.9nmoles</t>
  </si>
  <si>
    <t>OomCox1-levup-FO</t>
  </si>
  <si>
    <t>TCA WCW MGA TGG CTT TTT TCA AC</t>
  </si>
  <si>
    <t>24.8nmoles</t>
  </si>
  <si>
    <t>OomCox1-levlo-RO</t>
  </si>
  <si>
    <t>CYT CHG GRT GWC CRA AAA ACC AAA</t>
  </si>
  <si>
    <t>16.4nmoles</t>
  </si>
  <si>
    <t>PotyNIb-F-FV</t>
  </si>
  <si>
    <t>GGN ATH GGN TGY GGN AAR AAY GG</t>
  </si>
  <si>
    <t>30.1nmoles</t>
  </si>
  <si>
    <t>PotyCP-R-RV</t>
  </si>
  <si>
    <t>ACN GTR TGN GTR TCN GTR TC</t>
  </si>
  <si>
    <t>20.6nmoles</t>
  </si>
  <si>
    <t>BegoAV494</t>
  </si>
  <si>
    <t>GCC YAT RTA YAG RAA GCC MAG</t>
  </si>
  <si>
    <t>34.4nmoles</t>
  </si>
  <si>
    <t>6/1/2026 10:16:27 AM</t>
  </si>
  <si>
    <t>BegoAC1048</t>
  </si>
  <si>
    <t>GGR TTD GAR GCA TGH GTA CAT G</t>
  </si>
  <si>
    <t>27nmoles</t>
  </si>
  <si>
    <t>Tob-Uni-F</t>
  </si>
  <si>
    <t>GAY TGG GAY GG/ideoxyI/ TTY GG/ideoxyI/ AA</t>
  </si>
  <si>
    <t xml:space="preserve">Int deoxyInosine  Standard Desalting  No ESI </t>
  </si>
  <si>
    <t>13.5nmoles</t>
  </si>
  <si>
    <t>Tob-Uni-R</t>
  </si>
  <si>
    <t>CCR AA/ideoxyI/ CCR TC/ideoxyI/ ACR TC/ideoxyI/ CC</t>
  </si>
  <si>
    <t>22.9nmoles</t>
  </si>
  <si>
    <t>Cmv1-957-FV</t>
  </si>
  <si>
    <t>CGA GTC TTG AAC TTC CCA GGT</t>
  </si>
  <si>
    <t>73.3nmoles</t>
  </si>
  <si>
    <t>Ccmv1-2165-RV</t>
  </si>
  <si>
    <t>GTC TAG CCC GTC CAA AAC CA</t>
  </si>
  <si>
    <t>81.6nmoles</t>
  </si>
  <si>
    <t>Ccnv1-1440-FV</t>
  </si>
  <si>
    <t>GGA TGC GCC TAC CTA GTG AC</t>
  </si>
  <si>
    <t>62.3nmoles</t>
  </si>
  <si>
    <t>Ccnv1-2001-RV</t>
  </si>
  <si>
    <t>TGC TCG GCG TAC CAC ATA TC</t>
  </si>
  <si>
    <t>72.2nmoles</t>
  </si>
  <si>
    <t>Ccnv2-819-FV</t>
  </si>
  <si>
    <t>TCG GAC CAG AGA TGG AAG GT</t>
  </si>
  <si>
    <t>71.6nmoles</t>
  </si>
  <si>
    <t>Ccnv2-1564-RV</t>
  </si>
  <si>
    <t>TTT TTG ACG CAG CTC ACG TG</t>
  </si>
  <si>
    <t>80.9nmoles</t>
  </si>
  <si>
    <t>Ccnv3-791-FV</t>
  </si>
  <si>
    <t>ACG ACG ATG AAA CCA CCT CC</t>
  </si>
  <si>
    <t>64.3nmoles</t>
  </si>
  <si>
    <t>6/1/2026 10:16:28 AM</t>
  </si>
  <si>
    <t>Ccnv3-1757-RV</t>
  </si>
  <si>
    <t>CCC AGA CAT TCT GTG CCC AT</t>
  </si>
  <si>
    <t>82.4nmoles</t>
  </si>
  <si>
    <t>Anhydrous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</si>
</sst>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164" fontId="0" fillId="0" borderId="3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1" fillId="4" borderId="7" xfId="0" applyNumberFormat="1" applyFont="1" applyFill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1" fillId="3" borderId="8" xfId="0" applyNumberFormat="1" applyFont="1" applyFill="1" applyBorder="1" applyAlignment="1">
      <alignment vertical="top"/>
    </xf>
    <xf numFmtId="0" fontId="0" fillId="0" borderId="9" xfId="0" applyNumberFormat="1" applyBorder="1" applyAlignment="1">
      <alignment vertical="top"/>
    </xf>
    <xf numFmtId="0" fontId="0" fillId="0" borderId="10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/>
    </xf>
    <xf numFmtId="2" fontId="0" fillId="0" borderId="10" xfId="0" applyNumberFormat="1" applyBorder="1" applyAlignment="1">
      <alignment vertical="top"/>
    </xf>
    <xf numFmtId="0" fontId="0" fillId="0" borderId="11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3"/>
  <sheetViews>
    <sheetView showGridLines="0" tabSelected="1" workbookViewId="0">
      <selection activeCell="AC13" sqref="AC13"/>
    </sheetView>
  </sheetViews>
  <sheetFormatPr baseColWidth="10" defaultColWidth="8.33203125" defaultRowHeight="20" customHeight="1" x14ac:dyDescent="0.15"/>
  <cols>
    <col min="1" max="1" width="10.83203125" style="1" customWidth="1"/>
    <col min="2" max="2" width="9.83203125" style="1" hidden="1" customWidth="1"/>
    <col min="3" max="3" width="15.1640625" style="1" hidden="1" customWidth="1"/>
    <col min="4" max="4" width="17.6640625" style="1" customWidth="1"/>
    <col min="5" max="5" width="15.6640625" style="1" hidden="1" customWidth="1"/>
    <col min="6" max="6" width="16.6640625" style="1" customWidth="1"/>
    <col min="7" max="7" width="14.5" style="1" hidden="1" customWidth="1"/>
    <col min="8" max="8" width="8.5" style="1" hidden="1" customWidth="1"/>
    <col min="9" max="9" width="6.33203125" style="1" customWidth="1"/>
    <col min="10" max="10" width="43" style="1" customWidth="1"/>
    <col min="11" max="11" width="15.6640625" style="1" customWidth="1"/>
    <col min="12" max="13" width="15.83203125" style="1" hidden="1" customWidth="1"/>
    <col min="14" max="14" width="18.5" style="1" hidden="1" customWidth="1"/>
    <col min="15" max="15" width="15.83203125" style="1" customWidth="1"/>
    <col min="16" max="16" width="16.33203125" style="1" customWidth="1"/>
    <col min="17" max="17" width="35.33203125" style="1" hidden="1" customWidth="1"/>
    <col min="18" max="18" width="8.33203125" style="1" customWidth="1"/>
    <col min="19" max="19" width="10.1640625" style="1" customWidth="1"/>
    <col min="20" max="20" width="5.6640625" style="1" hidden="1" customWidth="1"/>
    <col min="21" max="21" width="7.33203125" style="1" hidden="1" customWidth="1"/>
    <col min="22" max="22" width="6.33203125" style="1" hidden="1" customWidth="1"/>
    <col min="23" max="23" width="18.1640625" style="1" hidden="1" customWidth="1"/>
    <col min="24" max="24" width="11.6640625" style="1" hidden="1" customWidth="1"/>
    <col min="25" max="25" width="12.6640625" style="1" customWidth="1"/>
    <col min="26" max="26" width="8.33203125" style="1" customWidth="1"/>
    <col min="27" max="40" width="8.33203125" style="1"/>
    <col min="41" max="43" width="0" style="1" hidden="1" customWidth="1"/>
    <col min="44" max="16384" width="8.33203125" style="1"/>
  </cols>
  <sheetData>
    <row r="1" spans="1:43" ht="20.25" customHeight="1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131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2" t="s">
        <v>23</v>
      </c>
    </row>
    <row r="2" spans="1:43" ht="20.25" customHeight="1" x14ac:dyDescent="0.15">
      <c r="A2" s="14">
        <v>23409425</v>
      </c>
      <c r="B2" s="15">
        <v>617462982</v>
      </c>
      <c r="C2" s="16">
        <v>409733068</v>
      </c>
      <c r="D2" s="17" t="s">
        <v>24</v>
      </c>
      <c r="E2" s="17" t="s">
        <v>25</v>
      </c>
      <c r="F2" s="17" t="s">
        <v>26</v>
      </c>
      <c r="G2" s="18"/>
      <c r="H2" s="16">
        <v>0.1</v>
      </c>
      <c r="I2" s="16">
        <v>20</v>
      </c>
      <c r="J2" s="17" t="s">
        <v>27</v>
      </c>
      <c r="K2" s="16">
        <v>6148</v>
      </c>
      <c r="L2" s="16">
        <v>5.2056220718375803</v>
      </c>
      <c r="M2" s="16">
        <v>32.004331077563798</v>
      </c>
      <c r="N2" s="16">
        <v>192100</v>
      </c>
      <c r="O2" s="16">
        <v>50</v>
      </c>
      <c r="P2" s="16">
        <v>54.250480757010799</v>
      </c>
      <c r="Q2" s="17" t="s">
        <v>28</v>
      </c>
      <c r="R2" s="16">
        <v>14.4</v>
      </c>
      <c r="S2" s="19" t="s">
        <v>29</v>
      </c>
      <c r="T2" s="17" t="s">
        <v>30</v>
      </c>
      <c r="U2" s="17" t="s">
        <v>30</v>
      </c>
      <c r="V2" s="17" t="s">
        <v>30</v>
      </c>
      <c r="W2" s="17" t="s">
        <v>31</v>
      </c>
      <c r="X2" s="20"/>
      <c r="Y2" s="11">
        <f>VALUE(AO2)*10</f>
        <v>748</v>
      </c>
      <c r="Z2" s="8"/>
      <c r="AO2" s="1" cm="1">
        <f t="array" ref="AO2">VALUE(_xlfn.TEXTJOIN("",TRUE,IF((MID(AQ2,ROW($1:$49),1)&gt;="0")*(MID(AQ2,ROW($1:$49),1)&lt;="9") + (MID(AQ2,ROW($1:$49),1)="."), MID(AQ2,ROW($1:$49),1), "")))</f>
        <v>74.8</v>
      </c>
      <c r="AQ2" s="1">
        <v>74.8</v>
      </c>
    </row>
    <row r="3" spans="1:43" ht="20" customHeight="1" x14ac:dyDescent="0.15">
      <c r="A3" s="2">
        <v>23409425</v>
      </c>
      <c r="B3" s="3">
        <v>617462983</v>
      </c>
      <c r="C3" s="4">
        <v>409732971</v>
      </c>
      <c r="D3" s="5" t="s">
        <v>32</v>
      </c>
      <c r="E3" s="5" t="s">
        <v>25</v>
      </c>
      <c r="F3" s="5" t="s">
        <v>33</v>
      </c>
      <c r="G3" s="6"/>
      <c r="H3" s="4">
        <v>2.5000000000000001E-2</v>
      </c>
      <c r="I3" s="4">
        <v>19</v>
      </c>
      <c r="J3" s="5" t="s">
        <v>34</v>
      </c>
      <c r="K3" s="7">
        <v>5784.8</v>
      </c>
      <c r="L3" s="4">
        <v>5.70776255707763</v>
      </c>
      <c r="M3" s="4">
        <v>33.018259132420098</v>
      </c>
      <c r="N3" s="4">
        <v>175200</v>
      </c>
      <c r="O3" s="4">
        <v>42.105263157894697</v>
      </c>
      <c r="P3" s="4">
        <v>49.362585453015498</v>
      </c>
      <c r="Q3" s="5" t="s">
        <v>28</v>
      </c>
      <c r="R3" s="7">
        <v>6.5</v>
      </c>
      <c r="S3" s="5" t="s">
        <v>35</v>
      </c>
      <c r="T3" s="5" t="s">
        <v>30</v>
      </c>
      <c r="U3" s="5" t="s">
        <v>30</v>
      </c>
      <c r="V3" s="5" t="s">
        <v>30</v>
      </c>
      <c r="W3" s="5" t="s">
        <v>31</v>
      </c>
      <c r="X3" s="9"/>
      <c r="Y3" s="10">
        <f t="shared" ref="Y3:Y33" si="0">VALUE(AO3)*10</f>
        <v>372</v>
      </c>
      <c r="AO3" s="1" cm="1">
        <f t="array" ref="AO3">VALUE(_xlfn.TEXTJOIN("",TRUE,IF((MID(AQ3,ROW($1:$49),1)&gt;="0")*(MID(AQ3,ROW($1:$49),1)&lt;="9") + (MID(AQ3,ROW($1:$49),1)="."), MID(AQ3,ROW($1:$49),1), "")))</f>
        <v>37.200000000000003</v>
      </c>
      <c r="AQ3" s="1">
        <v>37.200000000000003</v>
      </c>
    </row>
    <row r="4" spans="1:43" ht="20" customHeight="1" x14ac:dyDescent="0.15">
      <c r="A4" s="2">
        <v>23409425</v>
      </c>
      <c r="B4" s="3">
        <v>617462984</v>
      </c>
      <c r="C4" s="4">
        <v>409733066</v>
      </c>
      <c r="D4" s="5" t="s">
        <v>24</v>
      </c>
      <c r="E4" s="5" t="s">
        <v>25</v>
      </c>
      <c r="F4" s="5" t="s">
        <v>36</v>
      </c>
      <c r="G4" s="6"/>
      <c r="H4" s="7">
        <v>0.1</v>
      </c>
      <c r="I4" s="4">
        <v>19</v>
      </c>
      <c r="J4" s="5" t="s">
        <v>37</v>
      </c>
      <c r="K4" s="7">
        <v>5844.8</v>
      </c>
      <c r="L4" s="4">
        <v>5.57724484104852</v>
      </c>
      <c r="M4" s="4">
        <v>32.598008923591699</v>
      </c>
      <c r="N4" s="4">
        <v>179300</v>
      </c>
      <c r="O4" s="4">
        <v>63.157894736842103</v>
      </c>
      <c r="P4" s="4">
        <v>59.523923299591402</v>
      </c>
      <c r="Q4" s="5" t="s">
        <v>28</v>
      </c>
      <c r="R4" s="7">
        <v>12.7</v>
      </c>
      <c r="S4" s="5" t="s">
        <v>38</v>
      </c>
      <c r="T4" s="5" t="s">
        <v>30</v>
      </c>
      <c r="U4" s="5" t="s">
        <v>30</v>
      </c>
      <c r="V4" s="5" t="s">
        <v>30</v>
      </c>
      <c r="W4" s="5" t="s">
        <v>31</v>
      </c>
      <c r="X4" s="9"/>
      <c r="Y4" s="10">
        <f t="shared" si="0"/>
        <v>706</v>
      </c>
      <c r="AO4" s="1" cm="1">
        <f t="array" ref="AO4">VALUE(_xlfn.TEXTJOIN("",TRUE,IF((MID(AQ4,ROW($1:$49),1)&gt;="0")*(MID(AQ4,ROW($1:$49),1)&lt;="9") + (MID(AQ4,ROW($1:$49),1)="."), MID(AQ4,ROW($1:$49),1), "")))</f>
        <v>70.599999999999994</v>
      </c>
      <c r="AQ4" s="1">
        <v>70.599999999999994</v>
      </c>
    </row>
    <row r="5" spans="1:43" ht="20" customHeight="1" x14ac:dyDescent="0.15">
      <c r="A5" s="2">
        <v>23409425</v>
      </c>
      <c r="B5" s="3">
        <v>617462985</v>
      </c>
      <c r="C5" s="4">
        <v>409733236</v>
      </c>
      <c r="D5" s="5" t="s">
        <v>32</v>
      </c>
      <c r="E5" s="5" t="s">
        <v>25</v>
      </c>
      <c r="F5" s="5" t="s">
        <v>39</v>
      </c>
      <c r="G5" s="6"/>
      <c r="H5" s="4">
        <v>2.5000000000000001E-2</v>
      </c>
      <c r="I5" s="4">
        <v>20</v>
      </c>
      <c r="J5" s="5" t="s">
        <v>40</v>
      </c>
      <c r="K5" s="4">
        <v>6034</v>
      </c>
      <c r="L5" s="4">
        <v>5.5991041433370698</v>
      </c>
      <c r="M5" s="4">
        <v>33.784764837626</v>
      </c>
      <c r="N5" s="4">
        <v>178600</v>
      </c>
      <c r="O5" s="4">
        <v>45</v>
      </c>
      <c r="P5" s="4">
        <v>52.102334339031003</v>
      </c>
      <c r="Q5" s="5" t="s">
        <v>28</v>
      </c>
      <c r="R5" s="7">
        <v>5.9</v>
      </c>
      <c r="S5" s="5" t="s">
        <v>41</v>
      </c>
      <c r="T5" s="5" t="s">
        <v>30</v>
      </c>
      <c r="U5" s="5" t="s">
        <v>30</v>
      </c>
      <c r="V5" s="5" t="s">
        <v>30</v>
      </c>
      <c r="W5" s="5" t="s">
        <v>31</v>
      </c>
      <c r="X5" s="9"/>
      <c r="Y5" s="10">
        <f t="shared" si="0"/>
        <v>328</v>
      </c>
      <c r="AO5" s="1" cm="1">
        <f t="array" ref="AO5">VALUE(_xlfn.TEXTJOIN("",TRUE,IF((MID(AQ5,ROW($1:$49),1)&gt;="0")*(MID(AQ5,ROW($1:$49),1)&lt;="9") + (MID(AQ5,ROW($1:$49),1)="."), MID(AQ5,ROW($1:$49),1), "")))</f>
        <v>32.799999999999997</v>
      </c>
      <c r="AQ5" s="1">
        <v>32.799999999999997</v>
      </c>
    </row>
    <row r="6" spans="1:43" ht="20" customHeight="1" x14ac:dyDescent="0.15">
      <c r="A6" s="2">
        <v>23409425</v>
      </c>
      <c r="B6" s="3">
        <v>617462986</v>
      </c>
      <c r="C6" s="4">
        <v>409733820</v>
      </c>
      <c r="D6" s="5" t="s">
        <v>32</v>
      </c>
      <c r="E6" s="5" t="s">
        <v>25</v>
      </c>
      <c r="F6" s="5" t="s">
        <v>42</v>
      </c>
      <c r="G6" s="6"/>
      <c r="H6" s="4">
        <v>2.5000000000000001E-2</v>
      </c>
      <c r="I6" s="4">
        <v>22</v>
      </c>
      <c r="J6" s="5" t="s">
        <v>43</v>
      </c>
      <c r="K6" s="7">
        <v>6813.5</v>
      </c>
      <c r="L6" s="4">
        <v>4.4385264092321401</v>
      </c>
      <c r="M6" s="4">
        <v>30.2418419884598</v>
      </c>
      <c r="N6" s="4">
        <v>225300</v>
      </c>
      <c r="O6" s="4">
        <v>36.363636363636402</v>
      </c>
      <c r="P6" s="4">
        <v>49.728986883649597</v>
      </c>
      <c r="Q6" s="5" t="s">
        <v>28</v>
      </c>
      <c r="R6" s="7">
        <v>5.7</v>
      </c>
      <c r="S6" s="5" t="s">
        <v>44</v>
      </c>
      <c r="T6" s="5" t="s">
        <v>30</v>
      </c>
      <c r="U6" s="5" t="s">
        <v>30</v>
      </c>
      <c r="V6" s="5" t="s">
        <v>30</v>
      </c>
      <c r="W6" s="5" t="s">
        <v>45</v>
      </c>
      <c r="X6" s="9"/>
      <c r="Y6" s="10">
        <f t="shared" si="0"/>
        <v>251</v>
      </c>
      <c r="AO6" s="1" cm="1">
        <f t="array" ref="AO6">VALUE(_xlfn.TEXTJOIN("",TRUE,IF((MID(AQ6,ROW($1:$49),1)&gt;="0")*(MID(AQ6,ROW($1:$49),1)&lt;="9") + (MID(AQ6,ROW($1:$49),1)="."), MID(AQ6,ROW($1:$49),1), "")))</f>
        <v>25.1</v>
      </c>
      <c r="AQ6" s="1">
        <v>25.1</v>
      </c>
    </row>
    <row r="7" spans="1:43" ht="20" customHeight="1" x14ac:dyDescent="0.15">
      <c r="A7" s="2">
        <v>23409425</v>
      </c>
      <c r="B7" s="3">
        <v>617462987</v>
      </c>
      <c r="C7" s="4">
        <v>409733235</v>
      </c>
      <c r="D7" s="5" t="s">
        <v>32</v>
      </c>
      <c r="E7" s="5" t="s">
        <v>25</v>
      </c>
      <c r="F7" s="5" t="s">
        <v>46</v>
      </c>
      <c r="G7" s="6"/>
      <c r="H7" s="4">
        <v>2.5000000000000001E-2</v>
      </c>
      <c r="I7" s="4">
        <v>20</v>
      </c>
      <c r="J7" s="5" t="s">
        <v>47</v>
      </c>
      <c r="K7" s="4">
        <v>6075</v>
      </c>
      <c r="L7" s="4">
        <v>5.6593095642331601</v>
      </c>
      <c r="M7" s="4">
        <v>34.380135823429498</v>
      </c>
      <c r="N7" s="4">
        <v>176700</v>
      </c>
      <c r="O7" s="4">
        <v>55</v>
      </c>
      <c r="P7" s="4">
        <v>57.013673068688099</v>
      </c>
      <c r="Q7" s="5" t="s">
        <v>28</v>
      </c>
      <c r="R7" s="7">
        <v>3.5</v>
      </c>
      <c r="S7" s="5" t="s">
        <v>48</v>
      </c>
      <c r="T7" s="5" t="s">
        <v>30</v>
      </c>
      <c r="U7" s="5" t="s">
        <v>30</v>
      </c>
      <c r="V7" s="5" t="s">
        <v>30</v>
      </c>
      <c r="W7" s="5" t="s">
        <v>45</v>
      </c>
      <c r="X7" s="9"/>
      <c r="Y7" s="10">
        <f t="shared" si="0"/>
        <v>197</v>
      </c>
      <c r="AO7" s="1" cm="1">
        <f t="array" ref="AO7">VALUE(_xlfn.TEXTJOIN("",TRUE,IF((MID(AQ7,ROW($1:$49),1)&gt;="0")*(MID(AQ7,ROW($1:$49),1)&lt;="9") + (MID(AQ7,ROW($1:$49),1)="."), MID(AQ7,ROW($1:$49),1), "")))</f>
        <v>19.7</v>
      </c>
      <c r="AQ7" s="1">
        <v>19.7</v>
      </c>
    </row>
    <row r="8" spans="1:43" ht="20" customHeight="1" x14ac:dyDescent="0.15">
      <c r="A8" s="2">
        <v>23409425</v>
      </c>
      <c r="B8" s="3">
        <v>617462988</v>
      </c>
      <c r="C8" s="4">
        <v>409733234</v>
      </c>
      <c r="D8" s="5" t="s">
        <v>32</v>
      </c>
      <c r="E8" s="5" t="s">
        <v>25</v>
      </c>
      <c r="F8" s="5" t="s">
        <v>49</v>
      </c>
      <c r="G8" s="6"/>
      <c r="H8" s="4">
        <v>2.5000000000000001E-2</v>
      </c>
      <c r="I8" s="4">
        <v>20</v>
      </c>
      <c r="J8" s="5" t="s">
        <v>40</v>
      </c>
      <c r="K8" s="4">
        <v>6034</v>
      </c>
      <c r="L8" s="4">
        <v>5.5991041433370698</v>
      </c>
      <c r="M8" s="4">
        <v>33.784764837626</v>
      </c>
      <c r="N8" s="4">
        <v>178600</v>
      </c>
      <c r="O8" s="4">
        <v>45</v>
      </c>
      <c r="P8" s="4">
        <v>52.102334339031003</v>
      </c>
      <c r="Q8" s="5" t="s">
        <v>28</v>
      </c>
      <c r="R8" s="4">
        <v>5</v>
      </c>
      <c r="S8" s="5" t="s">
        <v>50</v>
      </c>
      <c r="T8" s="5" t="s">
        <v>30</v>
      </c>
      <c r="U8" s="5" t="s">
        <v>30</v>
      </c>
      <c r="V8" s="5" t="s">
        <v>30</v>
      </c>
      <c r="W8" s="5" t="s">
        <v>45</v>
      </c>
      <c r="X8" s="9"/>
      <c r="Y8" s="10">
        <f t="shared" si="0"/>
        <v>282</v>
      </c>
      <c r="AO8" s="1" cm="1">
        <f t="array" ref="AO8">VALUE(_xlfn.TEXTJOIN("",TRUE,IF((MID(AQ8,ROW($1:$49),1)&gt;="0")*(MID(AQ8,ROW($1:$49),1)&lt;="9") + (MID(AQ8,ROW($1:$49),1)="."), MID(AQ8,ROW($1:$49),1), "")))</f>
        <v>28.2</v>
      </c>
      <c r="AQ8" s="1">
        <v>28.2</v>
      </c>
    </row>
    <row r="9" spans="1:43" ht="20" customHeight="1" x14ac:dyDescent="0.15">
      <c r="A9" s="2">
        <v>23409425</v>
      </c>
      <c r="B9" s="3">
        <v>617462989</v>
      </c>
      <c r="C9" s="4">
        <v>409733819</v>
      </c>
      <c r="D9" s="5" t="s">
        <v>32</v>
      </c>
      <c r="E9" s="5" t="s">
        <v>25</v>
      </c>
      <c r="F9" s="5" t="s">
        <v>51</v>
      </c>
      <c r="G9" s="6"/>
      <c r="H9" s="4">
        <v>2.5000000000000001E-2</v>
      </c>
      <c r="I9" s="4">
        <v>22</v>
      </c>
      <c r="J9" s="5" t="s">
        <v>52</v>
      </c>
      <c r="K9" s="7">
        <v>6865.5</v>
      </c>
      <c r="L9" s="4">
        <v>4.1876046901172499</v>
      </c>
      <c r="M9" s="4">
        <v>28.750159128978201</v>
      </c>
      <c r="N9" s="4">
        <v>238800</v>
      </c>
      <c r="O9" s="4">
        <v>40.909090909090899</v>
      </c>
      <c r="P9" s="4">
        <v>51.343670812823497</v>
      </c>
      <c r="Q9" s="5" t="s">
        <v>28</v>
      </c>
      <c r="R9" s="7">
        <v>8.6</v>
      </c>
      <c r="S9" s="5" t="s">
        <v>53</v>
      </c>
      <c r="T9" s="5" t="s">
        <v>30</v>
      </c>
      <c r="U9" s="5" t="s">
        <v>30</v>
      </c>
      <c r="V9" s="5" t="s">
        <v>30</v>
      </c>
      <c r="W9" s="5" t="s">
        <v>45</v>
      </c>
      <c r="X9" s="9"/>
      <c r="Y9" s="10">
        <f t="shared" si="0"/>
        <v>358</v>
      </c>
      <c r="AO9" s="1" cm="1">
        <f t="array" ref="AO9">VALUE(_xlfn.TEXTJOIN("",TRUE,IF((MID(AQ9,ROW($1:$49),1)&gt;="0")*(MID(AQ9,ROW($1:$49),1)&lt;="9") + (MID(AQ9,ROW($1:$49),1)="."), MID(AQ9,ROW($1:$49),1), "")))</f>
        <v>35.799999999999997</v>
      </c>
      <c r="AQ9" s="1" t="s">
        <v>53</v>
      </c>
    </row>
    <row r="10" spans="1:43" ht="20" customHeight="1" x14ac:dyDescent="0.15">
      <c r="A10" s="2">
        <v>23409425</v>
      </c>
      <c r="B10" s="3">
        <v>617462990</v>
      </c>
      <c r="C10" s="4">
        <v>409733664</v>
      </c>
      <c r="D10" s="5" t="s">
        <v>32</v>
      </c>
      <c r="E10" s="5" t="s">
        <v>25</v>
      </c>
      <c r="F10" s="5" t="s">
        <v>54</v>
      </c>
      <c r="G10" s="6"/>
      <c r="H10" s="4">
        <v>2.5000000000000001E-2</v>
      </c>
      <c r="I10" s="4">
        <v>21</v>
      </c>
      <c r="J10" s="5" t="s">
        <v>55</v>
      </c>
      <c r="K10" s="7">
        <v>6568.3</v>
      </c>
      <c r="L10" s="4">
        <v>4.4622936189201203</v>
      </c>
      <c r="M10" s="4">
        <v>29.309808121374399</v>
      </c>
      <c r="N10" s="4">
        <v>224100</v>
      </c>
      <c r="O10" s="4">
        <v>47.619047619047599</v>
      </c>
      <c r="P10" s="4">
        <v>53.2324377821677</v>
      </c>
      <c r="Q10" s="5" t="s">
        <v>28</v>
      </c>
      <c r="R10" s="7">
        <v>4.5</v>
      </c>
      <c r="S10" s="5" t="s">
        <v>56</v>
      </c>
      <c r="T10" s="5" t="s">
        <v>30</v>
      </c>
      <c r="U10" s="5" t="s">
        <v>30</v>
      </c>
      <c r="V10" s="5" t="s">
        <v>30</v>
      </c>
      <c r="W10" s="5" t="s">
        <v>45</v>
      </c>
      <c r="X10" s="9"/>
      <c r="Y10" s="10">
        <f t="shared" si="0"/>
        <v>203</v>
      </c>
      <c r="AO10" s="1" cm="1">
        <f t="array" ref="AO10">VALUE(_xlfn.TEXTJOIN("",TRUE,IF((MID(AQ10,ROW($1:$49),1)&gt;="0")*(MID(AQ10,ROW($1:$49),1)&lt;="9") + (MID(AQ10,ROW($1:$49),1)="."), MID(AQ10,ROW($1:$49),1), "")))</f>
        <v>20.3</v>
      </c>
      <c r="AQ10" s="1" t="s">
        <v>56</v>
      </c>
    </row>
    <row r="11" spans="1:43" ht="20" customHeight="1" x14ac:dyDescent="0.15">
      <c r="A11" s="2">
        <v>23409425</v>
      </c>
      <c r="B11" s="3">
        <v>617462991</v>
      </c>
      <c r="C11" s="4">
        <v>409733233</v>
      </c>
      <c r="D11" s="5" t="s">
        <v>32</v>
      </c>
      <c r="E11" s="5" t="s">
        <v>25</v>
      </c>
      <c r="F11" s="5" t="s">
        <v>57</v>
      </c>
      <c r="G11" s="6"/>
      <c r="H11" s="4">
        <v>2.5000000000000001E-2</v>
      </c>
      <c r="I11" s="4">
        <v>20</v>
      </c>
      <c r="J11" s="5" t="s">
        <v>58</v>
      </c>
      <c r="K11" s="4">
        <v>6099</v>
      </c>
      <c r="L11" s="4">
        <v>5.4112554112554099</v>
      </c>
      <c r="M11" s="4">
        <v>33.003219696969701</v>
      </c>
      <c r="N11" s="4">
        <v>184800</v>
      </c>
      <c r="O11" s="4">
        <v>50</v>
      </c>
      <c r="P11" s="4">
        <v>55.700310204534901</v>
      </c>
      <c r="Q11" s="5" t="s">
        <v>28</v>
      </c>
      <c r="R11" s="7">
        <v>5.2</v>
      </c>
      <c r="S11" s="5" t="s">
        <v>59</v>
      </c>
      <c r="T11" s="5" t="s">
        <v>30</v>
      </c>
      <c r="U11" s="5" t="s">
        <v>30</v>
      </c>
      <c r="V11" s="5" t="s">
        <v>30</v>
      </c>
      <c r="W11" s="5" t="s">
        <v>45</v>
      </c>
      <c r="X11" s="9"/>
      <c r="Y11" s="10">
        <f t="shared" si="0"/>
        <v>280</v>
      </c>
      <c r="AO11" s="1" cm="1">
        <f t="array" ref="AO11">VALUE(_xlfn.TEXTJOIN("",TRUE,IF((MID(AQ11,ROW($1:$49),1)&gt;="0")*(MID(AQ11,ROW($1:$49),1)&lt;="9") + (MID(AQ11,ROW($1:$49),1)="."), MID(AQ11,ROW($1:$49),1), "")))</f>
        <v>28</v>
      </c>
      <c r="AQ11" s="1" t="s">
        <v>59</v>
      </c>
    </row>
    <row r="12" spans="1:43" ht="20" customHeight="1" x14ac:dyDescent="0.15">
      <c r="A12" s="2">
        <v>23409425</v>
      </c>
      <c r="B12" s="3">
        <v>617462992</v>
      </c>
      <c r="C12" s="4">
        <v>409733232</v>
      </c>
      <c r="D12" s="5" t="s">
        <v>32</v>
      </c>
      <c r="E12" s="5" t="s">
        <v>25</v>
      </c>
      <c r="F12" s="5" t="s">
        <v>60</v>
      </c>
      <c r="G12" s="6"/>
      <c r="H12" s="4">
        <v>2.5000000000000001E-2</v>
      </c>
      <c r="I12" s="4">
        <v>20</v>
      </c>
      <c r="J12" s="5" t="s">
        <v>61</v>
      </c>
      <c r="K12" s="7">
        <v>6220.6</v>
      </c>
      <c r="L12" s="4">
        <v>4.8355899419729198</v>
      </c>
      <c r="M12" s="4">
        <v>30.080273210831699</v>
      </c>
      <c r="N12" s="4">
        <v>206800</v>
      </c>
      <c r="O12" s="4">
        <v>40</v>
      </c>
      <c r="P12" s="4">
        <v>49.325499742008702</v>
      </c>
      <c r="Q12" s="5" t="s">
        <v>62</v>
      </c>
      <c r="R12" s="4">
        <v>6</v>
      </c>
      <c r="S12" s="5" t="s">
        <v>63</v>
      </c>
      <c r="T12" s="5" t="s">
        <v>30</v>
      </c>
      <c r="U12" s="5" t="s">
        <v>30</v>
      </c>
      <c r="V12" s="5" t="s">
        <v>30</v>
      </c>
      <c r="W12" s="5" t="s">
        <v>45</v>
      </c>
      <c r="X12" s="9"/>
      <c r="Y12" s="10">
        <f t="shared" si="0"/>
        <v>290</v>
      </c>
      <c r="AO12" s="1" cm="1">
        <f t="array" ref="AO12">VALUE(_xlfn.TEXTJOIN("",TRUE,IF((MID(AQ12,ROW($1:$49),1)&gt;="0")*(MID(AQ12,ROW($1:$49),1)&lt;="9") + (MID(AQ12,ROW($1:$49),1)="."), MID(AQ12,ROW($1:$49),1), "")))</f>
        <v>29</v>
      </c>
      <c r="AQ12" s="1" t="s">
        <v>63</v>
      </c>
    </row>
    <row r="13" spans="1:43" ht="20" customHeight="1" x14ac:dyDescent="0.15">
      <c r="A13" s="2">
        <v>23409425</v>
      </c>
      <c r="B13" s="3">
        <v>617462993</v>
      </c>
      <c r="C13" s="4">
        <v>409733663</v>
      </c>
      <c r="D13" s="5" t="s">
        <v>32</v>
      </c>
      <c r="E13" s="5" t="s">
        <v>25</v>
      </c>
      <c r="F13" s="5" t="s">
        <v>64</v>
      </c>
      <c r="G13" s="6"/>
      <c r="H13" s="4">
        <v>2.5000000000000001E-2</v>
      </c>
      <c r="I13" s="4">
        <v>21</v>
      </c>
      <c r="J13" s="5" t="s">
        <v>65</v>
      </c>
      <c r="K13" s="7">
        <v>6373.7</v>
      </c>
      <c r="L13" s="4">
        <v>4.8297512678097103</v>
      </c>
      <c r="M13" s="4">
        <v>30.783450857280901</v>
      </c>
      <c r="N13" s="4">
        <v>207050</v>
      </c>
      <c r="O13" s="4">
        <v>38.095238095238102</v>
      </c>
      <c r="P13" s="4">
        <v>49.520619378461397</v>
      </c>
      <c r="Q13" s="5" t="s">
        <v>62</v>
      </c>
      <c r="R13" s="7">
        <v>5.9</v>
      </c>
      <c r="S13" s="5" t="s">
        <v>66</v>
      </c>
      <c r="T13" s="5" t="s">
        <v>30</v>
      </c>
      <c r="U13" s="5" t="s">
        <v>30</v>
      </c>
      <c r="V13" s="5" t="s">
        <v>30</v>
      </c>
      <c r="W13" s="5" t="s">
        <v>45</v>
      </c>
      <c r="X13" s="9"/>
      <c r="Y13" s="10">
        <f t="shared" si="0"/>
        <v>285</v>
      </c>
      <c r="AO13" s="1" cm="1">
        <f t="array" ref="AO13">VALUE(_xlfn.TEXTJOIN("",TRUE,IF((MID(AQ13,ROW($1:$49),1)&gt;="0")*(MID(AQ13,ROW($1:$49),1)&lt;="9") + (MID(AQ13,ROW($1:$49),1)="."), MID(AQ13,ROW($1:$49),1), "")))</f>
        <v>28.5</v>
      </c>
      <c r="AQ13" s="1" t="s">
        <v>66</v>
      </c>
    </row>
    <row r="14" spans="1:43" ht="20" customHeight="1" x14ac:dyDescent="0.15">
      <c r="A14" s="2">
        <v>23409425</v>
      </c>
      <c r="B14" s="3">
        <v>617462994</v>
      </c>
      <c r="C14" s="4">
        <v>409734358</v>
      </c>
      <c r="D14" s="5" t="s">
        <v>32</v>
      </c>
      <c r="E14" s="5" t="s">
        <v>25</v>
      </c>
      <c r="F14" s="5" t="s">
        <v>67</v>
      </c>
      <c r="G14" s="6"/>
      <c r="H14" s="4">
        <v>2.5000000000000001E-2</v>
      </c>
      <c r="I14" s="4">
        <v>26</v>
      </c>
      <c r="J14" s="5" t="s">
        <v>68</v>
      </c>
      <c r="K14" s="7">
        <v>7950.3</v>
      </c>
      <c r="L14" s="4">
        <v>3.7383177570093502</v>
      </c>
      <c r="M14" s="4">
        <v>29.7205682242991</v>
      </c>
      <c r="N14" s="4">
        <v>267500</v>
      </c>
      <c r="O14" s="4">
        <v>42.307692307692299</v>
      </c>
      <c r="P14" s="4">
        <v>57.226719195773001</v>
      </c>
      <c r="Q14" s="5" t="s">
        <v>28</v>
      </c>
      <c r="R14" s="7">
        <v>6.8</v>
      </c>
      <c r="S14" s="5" t="s">
        <v>69</v>
      </c>
      <c r="T14" s="5" t="s">
        <v>30</v>
      </c>
      <c r="U14" s="5" t="s">
        <v>30</v>
      </c>
      <c r="V14" s="5" t="s">
        <v>30</v>
      </c>
      <c r="W14" s="5" t="s">
        <v>70</v>
      </c>
      <c r="X14" s="9"/>
      <c r="Y14" s="10">
        <f t="shared" si="0"/>
        <v>254</v>
      </c>
      <c r="AO14" s="1" cm="1">
        <f t="array" ref="AO14">VALUE(_xlfn.TEXTJOIN("",TRUE,IF((MID(AQ14,ROW($1:$49),1)&gt;="0")*(MID(AQ14,ROW($1:$49),1)&lt;="9") + (MID(AQ14,ROW($1:$49),1)="."), MID(AQ14,ROW($1:$49),1), "")))</f>
        <v>25.4</v>
      </c>
      <c r="AQ14" s="1" t="s">
        <v>69</v>
      </c>
    </row>
    <row r="15" spans="1:43" ht="20" customHeight="1" x14ac:dyDescent="0.15">
      <c r="A15" s="2">
        <v>23409425</v>
      </c>
      <c r="B15" s="3">
        <v>617462995</v>
      </c>
      <c r="C15" s="4">
        <v>409733231</v>
      </c>
      <c r="D15" s="5" t="s">
        <v>32</v>
      </c>
      <c r="E15" s="5" t="s">
        <v>25</v>
      </c>
      <c r="F15" s="5" t="s">
        <v>71</v>
      </c>
      <c r="G15" s="6"/>
      <c r="H15" s="4">
        <v>2.5000000000000001E-2</v>
      </c>
      <c r="I15" s="4">
        <v>20</v>
      </c>
      <c r="J15" s="5" t="s">
        <v>72</v>
      </c>
      <c r="K15" s="4">
        <v>6087</v>
      </c>
      <c r="L15" s="4">
        <v>5.00625782227785</v>
      </c>
      <c r="M15" s="4">
        <v>30.4732090112641</v>
      </c>
      <c r="N15" s="4">
        <v>199750</v>
      </c>
      <c r="O15" s="7">
        <v>47.5</v>
      </c>
      <c r="P15" s="4">
        <v>52.816812794647902</v>
      </c>
      <c r="Q15" s="5" t="s">
        <v>62</v>
      </c>
      <c r="R15" s="7">
        <v>5.5</v>
      </c>
      <c r="S15" s="5" t="s">
        <v>73</v>
      </c>
      <c r="T15" s="5" t="s">
        <v>30</v>
      </c>
      <c r="U15" s="5" t="s">
        <v>30</v>
      </c>
      <c r="V15" s="5" t="s">
        <v>30</v>
      </c>
      <c r="W15" s="5" t="s">
        <v>70</v>
      </c>
      <c r="X15" s="9"/>
      <c r="Y15" s="10">
        <f t="shared" si="0"/>
        <v>274</v>
      </c>
      <c r="AO15" s="1" cm="1">
        <f t="array" ref="AO15">VALUE(_xlfn.TEXTJOIN("",TRUE,IF((MID(AQ15,ROW($1:$49),1)&gt;="0")*(MID(AQ15,ROW($1:$49),1)&lt;="9") + (MID(AQ15,ROW($1:$49),1)="."), MID(AQ15,ROW($1:$49),1), "")))</f>
        <v>27.4</v>
      </c>
      <c r="AQ15" s="1" t="s">
        <v>73</v>
      </c>
    </row>
    <row r="16" spans="1:43" ht="20" customHeight="1" x14ac:dyDescent="0.15">
      <c r="A16" s="2">
        <v>23409425</v>
      </c>
      <c r="B16" s="3">
        <v>617462996</v>
      </c>
      <c r="C16" s="4">
        <v>409734064</v>
      </c>
      <c r="D16" s="5" t="s">
        <v>32</v>
      </c>
      <c r="E16" s="5" t="s">
        <v>25</v>
      </c>
      <c r="F16" s="5" t="s">
        <v>74</v>
      </c>
      <c r="G16" s="6"/>
      <c r="H16" s="4">
        <v>2.5000000000000001E-2</v>
      </c>
      <c r="I16" s="4">
        <v>23</v>
      </c>
      <c r="J16" s="5" t="s">
        <v>75</v>
      </c>
      <c r="K16" s="7">
        <v>6972.1</v>
      </c>
      <c r="L16" s="4">
        <v>4.8329283258847404</v>
      </c>
      <c r="M16" s="4">
        <v>33.6954340442458</v>
      </c>
      <c r="N16" s="4">
        <v>206913</v>
      </c>
      <c r="O16" s="4">
        <v>55.797101449275402</v>
      </c>
      <c r="P16" s="4">
        <v>61.177413751045698</v>
      </c>
      <c r="Q16" s="5" t="s">
        <v>62</v>
      </c>
      <c r="R16" s="7">
        <v>7.7</v>
      </c>
      <c r="S16" s="5" t="s">
        <v>76</v>
      </c>
      <c r="T16" s="5" t="s">
        <v>30</v>
      </c>
      <c r="U16" s="5" t="s">
        <v>30</v>
      </c>
      <c r="V16" s="5" t="s">
        <v>30</v>
      </c>
      <c r="W16" s="5" t="s">
        <v>70</v>
      </c>
      <c r="X16" s="9"/>
      <c r="Y16" s="10">
        <f t="shared" si="0"/>
        <v>370</v>
      </c>
      <c r="AO16" s="1" cm="1">
        <f t="array" ref="AO16">VALUE(_xlfn.TEXTJOIN("",TRUE,IF((MID(AQ16,ROW($1:$49),1)&gt;="0")*(MID(AQ16,ROW($1:$49),1)&lt;="9") + (MID(AQ16,ROW($1:$49),1)="."), MID(AQ16,ROW($1:$49),1), "")))</f>
        <v>37</v>
      </c>
      <c r="AQ16" s="1" t="s">
        <v>76</v>
      </c>
    </row>
    <row r="17" spans="1:43" ht="20" customHeight="1" x14ac:dyDescent="0.15">
      <c r="A17" s="2">
        <v>23409425</v>
      </c>
      <c r="B17" s="3">
        <v>617462997</v>
      </c>
      <c r="C17" s="4">
        <v>409734063</v>
      </c>
      <c r="D17" s="5" t="s">
        <v>32</v>
      </c>
      <c r="E17" s="5" t="s">
        <v>25</v>
      </c>
      <c r="F17" s="5" t="s">
        <v>77</v>
      </c>
      <c r="G17" s="6"/>
      <c r="H17" s="4">
        <v>2.5000000000000001E-2</v>
      </c>
      <c r="I17" s="4">
        <v>23</v>
      </c>
      <c r="J17" s="5" t="s">
        <v>78</v>
      </c>
      <c r="K17" s="7">
        <v>7050.1</v>
      </c>
      <c r="L17" s="4">
        <v>4.4277175116227596</v>
      </c>
      <c r="M17" s="4">
        <v>31.215979632499401</v>
      </c>
      <c r="N17" s="4">
        <v>225850</v>
      </c>
      <c r="O17" s="4">
        <v>54.347826086956502</v>
      </c>
      <c r="P17" s="4">
        <v>60.905878212262301</v>
      </c>
      <c r="Q17" s="5" t="s">
        <v>62</v>
      </c>
      <c r="R17" s="7">
        <v>7.4</v>
      </c>
      <c r="S17" s="5" t="s">
        <v>79</v>
      </c>
      <c r="T17" s="5" t="s">
        <v>30</v>
      </c>
      <c r="U17" s="5" t="s">
        <v>30</v>
      </c>
      <c r="V17" s="5" t="s">
        <v>30</v>
      </c>
      <c r="W17" s="5" t="s">
        <v>70</v>
      </c>
      <c r="X17" s="9"/>
      <c r="Y17" s="10">
        <f t="shared" si="0"/>
        <v>329</v>
      </c>
      <c r="AO17" s="1" cm="1">
        <f t="array" ref="AO17">VALUE(_xlfn.TEXTJOIN("",TRUE,IF((MID(AQ17,ROW($1:$49),1)&gt;="0")*(MID(AQ17,ROW($1:$49),1)&lt;="9") + (MID(AQ17,ROW($1:$49),1)="."), MID(AQ17,ROW($1:$49),1), "")))</f>
        <v>32.9</v>
      </c>
      <c r="AQ17" s="1" t="s">
        <v>79</v>
      </c>
    </row>
    <row r="18" spans="1:43" ht="20" customHeight="1" x14ac:dyDescent="0.15">
      <c r="A18" s="2">
        <v>23409425</v>
      </c>
      <c r="B18" s="3">
        <v>617462998</v>
      </c>
      <c r="C18" s="4">
        <v>409734062</v>
      </c>
      <c r="D18" s="5" t="s">
        <v>32</v>
      </c>
      <c r="E18" s="5" t="s">
        <v>25</v>
      </c>
      <c r="F18" s="5" t="s">
        <v>80</v>
      </c>
      <c r="G18" s="6"/>
      <c r="H18" s="4">
        <v>2.5000000000000001E-2</v>
      </c>
      <c r="I18" s="4">
        <v>23</v>
      </c>
      <c r="J18" s="5" t="s">
        <v>81</v>
      </c>
      <c r="K18" s="7">
        <v>6976.6</v>
      </c>
      <c r="L18" s="4">
        <v>4.7114252061248498</v>
      </c>
      <c r="M18" s="4">
        <v>32.869660777385199</v>
      </c>
      <c r="N18" s="4">
        <v>212250</v>
      </c>
      <c r="O18" s="4">
        <v>36.956521739130402</v>
      </c>
      <c r="P18" s="4">
        <v>53.1063406294912</v>
      </c>
      <c r="Q18" s="5" t="s">
        <v>62</v>
      </c>
      <c r="R18" s="7">
        <v>5.3</v>
      </c>
      <c r="S18" s="5" t="s">
        <v>82</v>
      </c>
      <c r="T18" s="5" t="s">
        <v>30</v>
      </c>
      <c r="U18" s="5" t="s">
        <v>30</v>
      </c>
      <c r="V18" s="5" t="s">
        <v>30</v>
      </c>
      <c r="W18" s="5" t="s">
        <v>70</v>
      </c>
      <c r="X18" s="9"/>
      <c r="Y18" s="10">
        <f t="shared" si="0"/>
        <v>248</v>
      </c>
      <c r="AO18" s="1" cm="1">
        <f t="array" ref="AO18">VALUE(_xlfn.TEXTJOIN("",TRUE,IF((MID(AQ18,ROW($1:$49),1)&gt;="0")*(MID(AQ18,ROW($1:$49),1)&lt;="9") + (MID(AQ18,ROW($1:$49),1)="."), MID(AQ18,ROW($1:$49),1), "")))</f>
        <v>24.8</v>
      </c>
      <c r="AQ18" s="1" t="s">
        <v>82</v>
      </c>
    </row>
    <row r="19" spans="1:43" ht="20" customHeight="1" x14ac:dyDescent="0.15">
      <c r="A19" s="2">
        <v>23409425</v>
      </c>
      <c r="B19" s="3">
        <v>617462999</v>
      </c>
      <c r="C19" s="4">
        <v>409734182</v>
      </c>
      <c r="D19" s="5" t="s">
        <v>32</v>
      </c>
      <c r="E19" s="5" t="s">
        <v>25</v>
      </c>
      <c r="F19" s="5" t="s">
        <v>83</v>
      </c>
      <c r="G19" s="6"/>
      <c r="H19" s="4">
        <v>2.5000000000000001E-2</v>
      </c>
      <c r="I19" s="4">
        <v>24</v>
      </c>
      <c r="J19" s="5" t="s">
        <v>84</v>
      </c>
      <c r="K19" s="7">
        <v>7324.8</v>
      </c>
      <c r="L19" s="4">
        <v>4.1812321631249203</v>
      </c>
      <c r="M19" s="4">
        <v>30.6268308134789</v>
      </c>
      <c r="N19" s="4">
        <v>239163</v>
      </c>
      <c r="O19" s="4">
        <v>45.1388888888889</v>
      </c>
      <c r="P19" s="4">
        <v>57.634717900120201</v>
      </c>
      <c r="Q19" s="5" t="s">
        <v>62</v>
      </c>
      <c r="R19" s="7">
        <v>3.9</v>
      </c>
      <c r="S19" s="5" t="s">
        <v>85</v>
      </c>
      <c r="T19" s="5" t="s">
        <v>30</v>
      </c>
      <c r="U19" s="5" t="s">
        <v>30</v>
      </c>
      <c r="V19" s="5" t="s">
        <v>30</v>
      </c>
      <c r="W19" s="5" t="s">
        <v>70</v>
      </c>
      <c r="X19" s="9"/>
      <c r="Y19" s="10">
        <f t="shared" si="0"/>
        <v>164</v>
      </c>
      <c r="AO19" s="1" cm="1">
        <f t="array" ref="AO19">VALUE(_xlfn.TEXTJOIN("",TRUE,IF((MID(AQ19,ROW($1:$49),1)&gt;="0")*(MID(AQ19,ROW($1:$49),1)&lt;="9") + (MID(AQ19,ROW($1:$49),1)="."), MID(AQ19,ROW($1:$49),1), "")))</f>
        <v>16.399999999999999</v>
      </c>
      <c r="AQ19" s="1" t="s">
        <v>85</v>
      </c>
    </row>
    <row r="20" spans="1:43" ht="20" customHeight="1" x14ac:dyDescent="0.15">
      <c r="A20" s="2">
        <v>23409425</v>
      </c>
      <c r="B20" s="3">
        <v>617463000</v>
      </c>
      <c r="C20" s="4">
        <v>409734167</v>
      </c>
      <c r="D20" s="5" t="s">
        <v>32</v>
      </c>
      <c r="E20" s="5" t="s">
        <v>25</v>
      </c>
      <c r="F20" s="5" t="s">
        <v>86</v>
      </c>
      <c r="G20" s="6"/>
      <c r="H20" s="4">
        <v>2.5000000000000001E-2</v>
      </c>
      <c r="I20" s="4">
        <v>23</v>
      </c>
      <c r="J20" s="5" t="s">
        <v>87</v>
      </c>
      <c r="K20" s="4">
        <v>7219</v>
      </c>
      <c r="L20" s="4">
        <v>4.2343497480583103</v>
      </c>
      <c r="M20" s="4">
        <v>30.5676759112261</v>
      </c>
      <c r="N20" s="4">
        <v>236163</v>
      </c>
      <c r="O20" s="4">
        <v>53.623188405797102</v>
      </c>
      <c r="P20" s="4">
        <v>59.262935831395701</v>
      </c>
      <c r="Q20" s="5" t="s">
        <v>62</v>
      </c>
      <c r="R20" s="7">
        <v>7.1</v>
      </c>
      <c r="S20" s="5" t="s">
        <v>88</v>
      </c>
      <c r="T20" s="5" t="s">
        <v>30</v>
      </c>
      <c r="U20" s="5" t="s">
        <v>30</v>
      </c>
      <c r="V20" s="5" t="s">
        <v>30</v>
      </c>
      <c r="W20" s="5" t="s">
        <v>70</v>
      </c>
      <c r="X20" s="9"/>
      <c r="Y20" s="10">
        <f t="shared" si="0"/>
        <v>301</v>
      </c>
      <c r="AO20" s="1" cm="1">
        <f t="array" ref="AO20">VALUE(_xlfn.TEXTJOIN("",TRUE,IF((MID(AQ20,ROW($1:$49),1)&gt;="0")*(MID(AQ20,ROW($1:$49),1)&lt;="9") + (MID(AQ20,ROW($1:$49),1)="."), MID(AQ20,ROW($1:$49),1), "")))</f>
        <v>30.1</v>
      </c>
      <c r="AQ20" s="1" t="s">
        <v>88</v>
      </c>
    </row>
    <row r="21" spans="1:43" ht="20" customHeight="1" x14ac:dyDescent="0.15">
      <c r="A21" s="2">
        <v>23409425</v>
      </c>
      <c r="B21" s="3">
        <v>617463001</v>
      </c>
      <c r="C21" s="4">
        <v>409733627</v>
      </c>
      <c r="D21" s="5" t="s">
        <v>32</v>
      </c>
      <c r="E21" s="5" t="s">
        <v>25</v>
      </c>
      <c r="F21" s="5" t="s">
        <v>89</v>
      </c>
      <c r="G21" s="6"/>
      <c r="H21" s="4">
        <v>2.5000000000000001E-2</v>
      </c>
      <c r="I21" s="4">
        <v>20</v>
      </c>
      <c r="J21" s="5" t="s">
        <v>90</v>
      </c>
      <c r="K21" s="7">
        <v>6151.3</v>
      </c>
      <c r="L21" s="4">
        <v>5.1786639047125798</v>
      </c>
      <c r="M21" s="4">
        <v>31.855402641118602</v>
      </c>
      <c r="N21" s="4">
        <v>193100</v>
      </c>
      <c r="O21" s="4">
        <v>50</v>
      </c>
      <c r="P21" s="4">
        <v>54.184964186584899</v>
      </c>
      <c r="Q21" s="5" t="s">
        <v>62</v>
      </c>
      <c r="R21" s="4">
        <v>4</v>
      </c>
      <c r="S21" s="5" t="s">
        <v>91</v>
      </c>
      <c r="T21" s="5" t="s">
        <v>30</v>
      </c>
      <c r="U21" s="5" t="s">
        <v>30</v>
      </c>
      <c r="V21" s="5" t="s">
        <v>30</v>
      </c>
      <c r="W21" s="5" t="s">
        <v>70</v>
      </c>
      <c r="X21" s="9"/>
      <c r="Y21" s="10">
        <f t="shared" si="0"/>
        <v>206</v>
      </c>
      <c r="AO21" s="1" cm="1">
        <f t="array" ref="AO21">VALUE(_xlfn.TEXTJOIN("",TRUE,IF((MID(AQ21,ROW($1:$49),1)&gt;="0")*(MID(AQ21,ROW($1:$49),1)&lt;="9") + (MID(AQ21,ROW($1:$49),1)="."), MID(AQ21,ROW($1:$49),1), "")))</f>
        <v>20.6</v>
      </c>
      <c r="AQ21" s="1" t="s">
        <v>91</v>
      </c>
    </row>
    <row r="22" spans="1:43" ht="20" customHeight="1" x14ac:dyDescent="0.15">
      <c r="A22" s="2">
        <v>23409425</v>
      </c>
      <c r="B22" s="3">
        <v>617463002</v>
      </c>
      <c r="C22" s="4">
        <v>409733791</v>
      </c>
      <c r="D22" s="5" t="s">
        <v>32</v>
      </c>
      <c r="E22" s="5" t="s">
        <v>25</v>
      </c>
      <c r="F22" s="5" t="s">
        <v>92</v>
      </c>
      <c r="G22" s="6"/>
      <c r="H22" s="4">
        <v>2.5000000000000001E-2</v>
      </c>
      <c r="I22" s="4">
        <v>21</v>
      </c>
      <c r="J22" s="5" t="s">
        <v>93</v>
      </c>
      <c r="K22" s="7">
        <v>6436.2</v>
      </c>
      <c r="L22" s="4">
        <v>4.7125353440150803</v>
      </c>
      <c r="M22" s="4">
        <v>30.331024976437298</v>
      </c>
      <c r="N22" s="4">
        <v>212200</v>
      </c>
      <c r="O22" s="4">
        <v>50</v>
      </c>
      <c r="P22" s="4">
        <v>54.066662212187801</v>
      </c>
      <c r="Q22" s="5" t="s">
        <v>62</v>
      </c>
      <c r="R22" s="7">
        <v>7.3</v>
      </c>
      <c r="S22" s="5" t="s">
        <v>94</v>
      </c>
      <c r="T22" s="5" t="s">
        <v>30</v>
      </c>
      <c r="U22" s="5" t="s">
        <v>30</v>
      </c>
      <c r="V22" s="5" t="s">
        <v>30</v>
      </c>
      <c r="W22" s="5" t="s">
        <v>95</v>
      </c>
      <c r="X22" s="9"/>
      <c r="Y22" s="10">
        <f t="shared" si="0"/>
        <v>344</v>
      </c>
      <c r="AO22" s="1" cm="1">
        <f t="array" ref="AO22">VALUE(_xlfn.TEXTJOIN("",TRUE,IF((MID(AQ22,ROW($1:$49),1)&gt;="0")*(MID(AQ22,ROW($1:$49),1)&lt;="9") + (MID(AQ22,ROW($1:$49),1)="."), MID(AQ22,ROW($1:$49),1), "")))</f>
        <v>34.4</v>
      </c>
      <c r="AQ22" s="1" t="s">
        <v>94</v>
      </c>
    </row>
    <row r="23" spans="1:43" ht="20" customHeight="1" x14ac:dyDescent="0.15">
      <c r="A23" s="2">
        <v>23409425</v>
      </c>
      <c r="B23" s="3">
        <v>617463003</v>
      </c>
      <c r="C23" s="4">
        <v>409734044</v>
      </c>
      <c r="D23" s="5" t="s">
        <v>32</v>
      </c>
      <c r="E23" s="5" t="s">
        <v>25</v>
      </c>
      <c r="F23" s="5" t="s">
        <v>96</v>
      </c>
      <c r="G23" s="6"/>
      <c r="H23" s="4">
        <v>2.5000000000000001E-2</v>
      </c>
      <c r="I23" s="4">
        <v>22</v>
      </c>
      <c r="J23" s="5" t="s">
        <v>97</v>
      </c>
      <c r="K23" s="7">
        <v>6854.8</v>
      </c>
      <c r="L23" s="4">
        <v>4.4918131091319697</v>
      </c>
      <c r="M23" s="4">
        <v>30.7906017794318</v>
      </c>
      <c r="N23" s="4">
        <v>222627</v>
      </c>
      <c r="O23" s="4">
        <v>48.484848484848499</v>
      </c>
      <c r="P23" s="4">
        <v>55.308306181442397</v>
      </c>
      <c r="Q23" s="5" t="s">
        <v>62</v>
      </c>
      <c r="R23" s="4">
        <v>6</v>
      </c>
      <c r="S23" s="5" t="s">
        <v>98</v>
      </c>
      <c r="T23" s="5" t="s">
        <v>30</v>
      </c>
      <c r="U23" s="5" t="s">
        <v>30</v>
      </c>
      <c r="V23" s="5" t="s">
        <v>30</v>
      </c>
      <c r="W23" s="5" t="s">
        <v>95</v>
      </c>
      <c r="X23" s="9"/>
      <c r="Y23" s="10">
        <f t="shared" si="0"/>
        <v>270</v>
      </c>
      <c r="AO23" s="1" cm="1">
        <f t="array" ref="AO23">VALUE(_xlfn.TEXTJOIN("",TRUE,IF((MID(AQ23,ROW($1:$49),1)&gt;="0")*(MID(AQ23,ROW($1:$49),1)&lt;="9") + (MID(AQ23,ROW($1:$49),1)="."), MID(AQ23,ROW($1:$49),1), "")))</f>
        <v>27</v>
      </c>
      <c r="AQ23" s="1" t="s">
        <v>98</v>
      </c>
    </row>
    <row r="24" spans="1:43" ht="20" customHeight="1" x14ac:dyDescent="0.15">
      <c r="A24" s="2">
        <v>23409425</v>
      </c>
      <c r="B24" s="3">
        <v>617463004</v>
      </c>
      <c r="C24" s="4">
        <v>409743240</v>
      </c>
      <c r="D24" s="5" t="s">
        <v>32</v>
      </c>
      <c r="E24" s="5" t="s">
        <v>25</v>
      </c>
      <c r="F24" s="5" t="s">
        <v>99</v>
      </c>
      <c r="G24" s="6"/>
      <c r="H24" s="4">
        <v>2.5000000000000001E-2</v>
      </c>
      <c r="I24" s="4">
        <v>18</v>
      </c>
      <c r="J24" s="5" t="s">
        <v>100</v>
      </c>
      <c r="K24" s="7">
        <v>6255.6</v>
      </c>
      <c r="L24" s="4">
        <v>4.9248953459739004</v>
      </c>
      <c r="M24" s="4">
        <v>30.808086678158102</v>
      </c>
      <c r="N24" s="4">
        <v>203050</v>
      </c>
      <c r="O24" s="7">
        <v>47.5</v>
      </c>
      <c r="P24" s="4">
        <v>57.915353014165198</v>
      </c>
      <c r="Q24" s="5" t="s">
        <v>101</v>
      </c>
      <c r="R24" s="7">
        <v>2.7</v>
      </c>
      <c r="S24" s="5" t="s">
        <v>102</v>
      </c>
      <c r="T24" s="5" t="s">
        <v>30</v>
      </c>
      <c r="U24" s="5" t="s">
        <v>30</v>
      </c>
      <c r="V24" s="5" t="s">
        <v>30</v>
      </c>
      <c r="W24" s="5" t="s">
        <v>95</v>
      </c>
      <c r="X24" s="9"/>
      <c r="Y24" s="10">
        <f t="shared" si="0"/>
        <v>135</v>
      </c>
      <c r="AO24" s="1" cm="1">
        <f t="array" ref="AO24">VALUE(_xlfn.TEXTJOIN("",TRUE,IF((MID(AQ24,ROW($1:$49),1)&gt;="0")*(MID(AQ24,ROW($1:$49),1)&lt;="9") + (MID(AQ24,ROW($1:$49),1)="."), MID(AQ24,ROW($1:$49),1), "")))</f>
        <v>13.5</v>
      </c>
      <c r="AQ24" s="1" t="s">
        <v>102</v>
      </c>
    </row>
    <row r="25" spans="1:43" ht="20" customHeight="1" x14ac:dyDescent="0.15">
      <c r="A25" s="2">
        <v>23409425</v>
      </c>
      <c r="B25" s="3">
        <v>617463005</v>
      </c>
      <c r="C25" s="4">
        <v>409743239</v>
      </c>
      <c r="D25" s="5" t="s">
        <v>32</v>
      </c>
      <c r="E25" s="5" t="s">
        <v>25</v>
      </c>
      <c r="F25" s="5" t="s">
        <v>103</v>
      </c>
      <c r="G25" s="6"/>
      <c r="H25" s="4">
        <v>2.5000000000000001E-2</v>
      </c>
      <c r="I25" s="4">
        <v>17</v>
      </c>
      <c r="J25" s="5" t="s">
        <v>104</v>
      </c>
      <c r="K25" s="7">
        <v>5994.9</v>
      </c>
      <c r="L25" s="4">
        <v>5.40248514316586</v>
      </c>
      <c r="M25" s="4">
        <v>32.3874581307401</v>
      </c>
      <c r="N25" s="4">
        <v>185100</v>
      </c>
      <c r="O25" s="7">
        <v>52.5</v>
      </c>
      <c r="P25" s="4">
        <v>61.526145719274297</v>
      </c>
      <c r="Q25" s="5" t="s">
        <v>101</v>
      </c>
      <c r="R25" s="7">
        <v>4.2</v>
      </c>
      <c r="S25" s="5" t="s">
        <v>105</v>
      </c>
      <c r="T25" s="5" t="s">
        <v>30</v>
      </c>
      <c r="U25" s="5" t="s">
        <v>30</v>
      </c>
      <c r="V25" s="5" t="s">
        <v>30</v>
      </c>
      <c r="W25" s="5" t="s">
        <v>95</v>
      </c>
      <c r="X25" s="9"/>
      <c r="Y25" s="10">
        <f t="shared" si="0"/>
        <v>229</v>
      </c>
      <c r="AO25" s="1" cm="1">
        <f t="array" ref="AO25">VALUE(_xlfn.TEXTJOIN("",TRUE,IF((MID(AQ25,ROW($1:$49),1)&gt;="0")*(MID(AQ25,ROW($1:$49),1)&lt;="9") + (MID(AQ25,ROW($1:$49),1)="."), MID(AQ25,ROW($1:$49),1), "")))</f>
        <v>22.9</v>
      </c>
      <c r="AQ25" s="1" t="s">
        <v>105</v>
      </c>
    </row>
    <row r="26" spans="1:43" ht="20" customHeight="1" x14ac:dyDescent="0.15">
      <c r="A26" s="2">
        <v>23409425</v>
      </c>
      <c r="B26" s="3">
        <v>617463006</v>
      </c>
      <c r="C26" s="4">
        <v>409733087</v>
      </c>
      <c r="D26" s="5" t="s">
        <v>24</v>
      </c>
      <c r="E26" s="5" t="s">
        <v>25</v>
      </c>
      <c r="F26" s="5" t="s">
        <v>106</v>
      </c>
      <c r="G26" s="6"/>
      <c r="H26" s="7">
        <v>0.1</v>
      </c>
      <c r="I26" s="4">
        <v>21</v>
      </c>
      <c r="J26" s="5" t="s">
        <v>107</v>
      </c>
      <c r="K26" s="7">
        <v>6397.2</v>
      </c>
      <c r="L26" s="4">
        <v>5.1334702258726903</v>
      </c>
      <c r="M26" s="4">
        <v>32.839794661191</v>
      </c>
      <c r="N26" s="4">
        <v>194800</v>
      </c>
      <c r="O26" s="4">
        <v>52.380952380952401</v>
      </c>
      <c r="P26" s="4">
        <v>56.661107104730199</v>
      </c>
      <c r="Q26" s="5" t="s">
        <v>28</v>
      </c>
      <c r="R26" s="7">
        <v>14.3</v>
      </c>
      <c r="S26" s="5" t="s">
        <v>108</v>
      </c>
      <c r="T26" s="5" t="s">
        <v>30</v>
      </c>
      <c r="U26" s="5" t="s">
        <v>30</v>
      </c>
      <c r="V26" s="5" t="s">
        <v>30</v>
      </c>
      <c r="W26" s="5" t="s">
        <v>95</v>
      </c>
      <c r="X26" s="9"/>
      <c r="Y26" s="10">
        <f t="shared" si="0"/>
        <v>733</v>
      </c>
      <c r="AO26" s="1" cm="1">
        <f t="array" ref="AO26">VALUE(_xlfn.TEXTJOIN("",TRUE,IF((MID(AQ26,ROW($1:$49),1)&gt;="0")*(MID(AQ26,ROW($1:$49),1)&lt;="9") + (MID(AQ26,ROW($1:$49),1)="."), MID(AQ26,ROW($1:$49),1), "")))</f>
        <v>73.3</v>
      </c>
      <c r="AQ26" s="1" t="s">
        <v>108</v>
      </c>
    </row>
    <row r="27" spans="1:43" ht="20" customHeight="1" x14ac:dyDescent="0.15">
      <c r="A27" s="2">
        <v>23409425</v>
      </c>
      <c r="B27" s="3">
        <v>617463007</v>
      </c>
      <c r="C27" s="4">
        <v>409733080</v>
      </c>
      <c r="D27" s="5" t="s">
        <v>24</v>
      </c>
      <c r="E27" s="5" t="s">
        <v>25</v>
      </c>
      <c r="F27" s="5" t="s">
        <v>109</v>
      </c>
      <c r="G27" s="6"/>
      <c r="H27" s="7">
        <v>0.1</v>
      </c>
      <c r="I27" s="4">
        <v>20</v>
      </c>
      <c r="J27" s="5" t="s">
        <v>110</v>
      </c>
      <c r="K27" s="4">
        <v>6031</v>
      </c>
      <c r="L27" s="4">
        <v>5.2493438320210002</v>
      </c>
      <c r="M27" s="4">
        <v>31.658656167979</v>
      </c>
      <c r="N27" s="4">
        <v>190500</v>
      </c>
      <c r="O27" s="4">
        <v>55</v>
      </c>
      <c r="P27" s="4">
        <v>57.297616486443999</v>
      </c>
      <c r="Q27" s="5" t="s">
        <v>28</v>
      </c>
      <c r="R27" s="7">
        <v>15.6</v>
      </c>
      <c r="S27" s="5" t="s">
        <v>111</v>
      </c>
      <c r="T27" s="5" t="s">
        <v>30</v>
      </c>
      <c r="U27" s="5" t="s">
        <v>30</v>
      </c>
      <c r="V27" s="5" t="s">
        <v>30</v>
      </c>
      <c r="W27" s="5" t="s">
        <v>95</v>
      </c>
      <c r="X27" s="9"/>
      <c r="Y27" s="10">
        <f t="shared" si="0"/>
        <v>816</v>
      </c>
      <c r="AO27" s="1" cm="1">
        <f t="array" ref="AO27">VALUE(_xlfn.TEXTJOIN("",TRUE,IF((MID(AQ27,ROW($1:$49),1)&gt;="0")*(MID(AQ27,ROW($1:$49),1)&lt;="9") + (MID(AQ27,ROW($1:$49),1)="."), MID(AQ27,ROW($1:$49),1), "")))</f>
        <v>81.599999999999994</v>
      </c>
      <c r="AQ27" s="1" t="s">
        <v>111</v>
      </c>
    </row>
    <row r="28" spans="1:43" ht="20" customHeight="1" x14ac:dyDescent="0.15">
      <c r="A28" s="2">
        <v>23409425</v>
      </c>
      <c r="B28" s="3">
        <v>617463008</v>
      </c>
      <c r="C28" s="4">
        <v>409733079</v>
      </c>
      <c r="D28" s="5" t="s">
        <v>24</v>
      </c>
      <c r="E28" s="5" t="s">
        <v>25</v>
      </c>
      <c r="F28" s="5" t="s">
        <v>112</v>
      </c>
      <c r="G28" s="6"/>
      <c r="H28" s="7">
        <v>0.1</v>
      </c>
      <c r="I28" s="4">
        <v>20</v>
      </c>
      <c r="J28" s="5" t="s">
        <v>113</v>
      </c>
      <c r="K28" s="4">
        <v>6118</v>
      </c>
      <c r="L28" s="4">
        <v>5.2938062466913696</v>
      </c>
      <c r="M28" s="4">
        <v>32.387548967707801</v>
      </c>
      <c r="N28" s="4">
        <v>188900</v>
      </c>
      <c r="O28" s="4">
        <v>60</v>
      </c>
      <c r="P28" s="4">
        <v>57.387954389415</v>
      </c>
      <c r="Q28" s="5" t="s">
        <v>28</v>
      </c>
      <c r="R28" s="7">
        <v>11.8</v>
      </c>
      <c r="S28" s="5" t="s">
        <v>114</v>
      </c>
      <c r="T28" s="5" t="s">
        <v>30</v>
      </c>
      <c r="U28" s="5" t="s">
        <v>30</v>
      </c>
      <c r="V28" s="5" t="s">
        <v>30</v>
      </c>
      <c r="W28" s="5" t="s">
        <v>95</v>
      </c>
      <c r="X28" s="9"/>
      <c r="Y28" s="10">
        <f t="shared" si="0"/>
        <v>623</v>
      </c>
      <c r="AO28" s="1" cm="1">
        <f t="array" ref="AO28">VALUE(_xlfn.TEXTJOIN("",TRUE,IF((MID(AQ28,ROW($1:$49),1)&gt;="0")*(MID(AQ28,ROW($1:$49),1)&lt;="9") + (MID(AQ28,ROW($1:$49),1)="."), MID(AQ28,ROW($1:$49),1), "")))</f>
        <v>62.3</v>
      </c>
      <c r="AQ28" s="1" t="s">
        <v>114</v>
      </c>
    </row>
    <row r="29" spans="1:43" ht="20" customHeight="1" x14ac:dyDescent="0.15">
      <c r="A29" s="2">
        <v>23409425</v>
      </c>
      <c r="B29" s="3">
        <v>617463009</v>
      </c>
      <c r="C29" s="4">
        <v>409733078</v>
      </c>
      <c r="D29" s="5" t="s">
        <v>24</v>
      </c>
      <c r="E29" s="5" t="s">
        <v>25</v>
      </c>
      <c r="F29" s="5" t="s">
        <v>115</v>
      </c>
      <c r="G29" s="6"/>
      <c r="H29" s="7">
        <v>0.1</v>
      </c>
      <c r="I29" s="4">
        <v>20</v>
      </c>
      <c r="J29" s="5" t="s">
        <v>116</v>
      </c>
      <c r="K29" s="4">
        <v>6053</v>
      </c>
      <c r="L29" s="4">
        <v>5.4229934924078096</v>
      </c>
      <c r="M29" s="4">
        <v>32.825227765726702</v>
      </c>
      <c r="N29" s="4">
        <v>184400</v>
      </c>
      <c r="O29" s="4">
        <v>55</v>
      </c>
      <c r="P29" s="4">
        <v>57.051230506654697</v>
      </c>
      <c r="Q29" s="5" t="s">
        <v>28</v>
      </c>
      <c r="R29" s="7">
        <v>13.3</v>
      </c>
      <c r="S29" s="5" t="s">
        <v>117</v>
      </c>
      <c r="T29" s="5" t="s">
        <v>30</v>
      </c>
      <c r="U29" s="5" t="s">
        <v>30</v>
      </c>
      <c r="V29" s="5" t="s">
        <v>30</v>
      </c>
      <c r="W29" s="5" t="s">
        <v>95</v>
      </c>
      <c r="X29" s="9"/>
      <c r="Y29" s="10">
        <f t="shared" si="0"/>
        <v>722</v>
      </c>
      <c r="AO29" s="1" cm="1">
        <f t="array" ref="AO29">VALUE(_xlfn.TEXTJOIN("",TRUE,IF((MID(AQ29,ROW($1:$49),1)&gt;="0")*(MID(AQ29,ROW($1:$49),1)&lt;="9") + (MID(AQ29,ROW($1:$49),1)="."), MID(AQ29,ROW($1:$49),1), "")))</f>
        <v>72.2</v>
      </c>
      <c r="AQ29" s="1" t="s">
        <v>117</v>
      </c>
    </row>
    <row r="30" spans="1:43" ht="20" customHeight="1" x14ac:dyDescent="0.15">
      <c r="A30" s="2">
        <v>23409425</v>
      </c>
      <c r="B30" s="3">
        <v>617463010</v>
      </c>
      <c r="C30" s="4">
        <v>409733077</v>
      </c>
      <c r="D30" s="5" t="s">
        <v>24</v>
      </c>
      <c r="E30" s="5" t="s">
        <v>25</v>
      </c>
      <c r="F30" s="5" t="s">
        <v>118</v>
      </c>
      <c r="G30" s="6"/>
      <c r="H30" s="7">
        <v>0.1</v>
      </c>
      <c r="I30" s="4">
        <v>20</v>
      </c>
      <c r="J30" s="5" t="s">
        <v>119</v>
      </c>
      <c r="K30" s="7">
        <v>6231.1</v>
      </c>
      <c r="L30" s="4">
        <v>4.8614487117160898</v>
      </c>
      <c r="M30" s="4">
        <v>30.2921438988819</v>
      </c>
      <c r="N30" s="4">
        <v>205700</v>
      </c>
      <c r="O30" s="4">
        <v>55</v>
      </c>
      <c r="P30" s="4">
        <v>57.6242953412753</v>
      </c>
      <c r="Q30" s="5" t="s">
        <v>28</v>
      </c>
      <c r="R30" s="7">
        <v>14.7</v>
      </c>
      <c r="S30" s="5" t="s">
        <v>120</v>
      </c>
      <c r="T30" s="5" t="s">
        <v>30</v>
      </c>
      <c r="U30" s="5" t="s">
        <v>30</v>
      </c>
      <c r="V30" s="5" t="s">
        <v>30</v>
      </c>
      <c r="W30" s="5" t="s">
        <v>95</v>
      </c>
      <c r="X30" s="9"/>
      <c r="Y30" s="10">
        <f t="shared" si="0"/>
        <v>716</v>
      </c>
      <c r="AO30" s="1" cm="1">
        <f t="array" ref="AO30">VALUE(_xlfn.TEXTJOIN("",TRUE,IF((MID(AQ30,ROW($1:$49),1)&gt;="0")*(MID(AQ30,ROW($1:$49),1)&lt;="9") + (MID(AQ30,ROW($1:$49),1)="."), MID(AQ30,ROW($1:$49),1), "")))</f>
        <v>71.599999999999994</v>
      </c>
      <c r="AQ30" s="1" t="s">
        <v>120</v>
      </c>
    </row>
    <row r="31" spans="1:43" ht="20" customHeight="1" x14ac:dyDescent="0.15">
      <c r="A31" s="2">
        <v>23409425</v>
      </c>
      <c r="B31" s="3">
        <v>617463011</v>
      </c>
      <c r="C31" s="4">
        <v>409733076</v>
      </c>
      <c r="D31" s="5" t="s">
        <v>24</v>
      </c>
      <c r="E31" s="5" t="s">
        <v>25</v>
      </c>
      <c r="F31" s="5" t="s">
        <v>121</v>
      </c>
      <c r="G31" s="6"/>
      <c r="H31" s="7">
        <v>0.1</v>
      </c>
      <c r="I31" s="4">
        <v>20</v>
      </c>
      <c r="J31" s="5" t="s">
        <v>122</v>
      </c>
      <c r="K31" s="4">
        <v>6099</v>
      </c>
      <c r="L31" s="4">
        <v>5.5126791620727698</v>
      </c>
      <c r="M31" s="4">
        <v>33.621802646086003</v>
      </c>
      <c r="N31" s="4">
        <v>181400</v>
      </c>
      <c r="O31" s="4">
        <v>50</v>
      </c>
      <c r="P31" s="4">
        <v>56.511028763824498</v>
      </c>
      <c r="Q31" s="5" t="s">
        <v>28</v>
      </c>
      <c r="R31" s="7">
        <v>14.7</v>
      </c>
      <c r="S31" s="5" t="s">
        <v>123</v>
      </c>
      <c r="T31" s="5" t="s">
        <v>30</v>
      </c>
      <c r="U31" s="5" t="s">
        <v>30</v>
      </c>
      <c r="V31" s="5" t="s">
        <v>30</v>
      </c>
      <c r="W31" s="5" t="s">
        <v>95</v>
      </c>
      <c r="X31" s="9"/>
      <c r="Y31" s="10">
        <f t="shared" si="0"/>
        <v>809</v>
      </c>
      <c r="AO31" s="1" cm="1">
        <f t="array" ref="AO31">VALUE(_xlfn.TEXTJOIN("",TRUE,IF((MID(AQ31,ROW($1:$49),1)&gt;="0")*(MID(AQ31,ROW($1:$49),1)&lt;="9") + (MID(AQ31,ROW($1:$49),1)="."), MID(AQ31,ROW($1:$49),1), "")))</f>
        <v>80.900000000000006</v>
      </c>
      <c r="AQ31" s="1" t="s">
        <v>123</v>
      </c>
    </row>
    <row r="32" spans="1:43" ht="20" customHeight="1" x14ac:dyDescent="0.15">
      <c r="A32" s="2">
        <v>23409425</v>
      </c>
      <c r="B32" s="3">
        <v>617463012</v>
      </c>
      <c r="C32" s="4">
        <v>409733075</v>
      </c>
      <c r="D32" s="5" t="s">
        <v>24</v>
      </c>
      <c r="E32" s="5" t="s">
        <v>25</v>
      </c>
      <c r="F32" s="5" t="s">
        <v>124</v>
      </c>
      <c r="G32" s="6"/>
      <c r="H32" s="7">
        <v>0.1</v>
      </c>
      <c r="I32" s="4">
        <v>20</v>
      </c>
      <c r="J32" s="5" t="s">
        <v>125</v>
      </c>
      <c r="K32" s="4">
        <v>6040</v>
      </c>
      <c r="L32" s="4">
        <v>5.1733057423693696</v>
      </c>
      <c r="M32" s="4">
        <v>31.246699430936399</v>
      </c>
      <c r="N32" s="4">
        <v>193300</v>
      </c>
      <c r="O32" s="4">
        <v>55</v>
      </c>
      <c r="P32" s="4">
        <v>57.210525835341201</v>
      </c>
      <c r="Q32" s="5" t="s">
        <v>28</v>
      </c>
      <c r="R32" s="7">
        <v>12.4</v>
      </c>
      <c r="S32" s="5" t="s">
        <v>126</v>
      </c>
      <c r="T32" s="5" t="s">
        <v>30</v>
      </c>
      <c r="U32" s="5" t="s">
        <v>30</v>
      </c>
      <c r="V32" s="5" t="s">
        <v>30</v>
      </c>
      <c r="W32" s="5" t="s">
        <v>127</v>
      </c>
      <c r="X32" s="9"/>
      <c r="Y32" s="10">
        <f t="shared" si="0"/>
        <v>643</v>
      </c>
      <c r="AO32" s="1" cm="1">
        <f t="array" ref="AO32">VALUE(_xlfn.TEXTJOIN("",TRUE,IF((MID(AQ32,ROW($1:$49),1)&gt;="0")*(MID(AQ32,ROW($1:$49),1)&lt;="9") + (MID(AQ32,ROW($1:$49),1)="."), MID(AQ32,ROW($1:$49),1), "")))</f>
        <v>64.3</v>
      </c>
      <c r="AQ32" s="1" t="s">
        <v>126</v>
      </c>
    </row>
    <row r="33" spans="1:43" ht="20" customHeight="1" x14ac:dyDescent="0.15">
      <c r="A33" s="2">
        <v>23409425</v>
      </c>
      <c r="B33" s="3">
        <v>617463013</v>
      </c>
      <c r="C33" s="4">
        <v>409733074</v>
      </c>
      <c r="D33" s="5" t="s">
        <v>24</v>
      </c>
      <c r="E33" s="5" t="s">
        <v>25</v>
      </c>
      <c r="F33" s="5" t="s">
        <v>128</v>
      </c>
      <c r="G33" s="6"/>
      <c r="H33" s="4">
        <v>0.1</v>
      </c>
      <c r="I33" s="4">
        <v>20</v>
      </c>
      <c r="J33" s="5" t="s">
        <v>129</v>
      </c>
      <c r="K33" s="4">
        <v>6012.9</v>
      </c>
      <c r="L33" s="4">
        <v>5.5524708495280404</v>
      </c>
      <c r="M33" s="4">
        <v>33.386718489727897</v>
      </c>
      <c r="N33" s="4">
        <v>180100</v>
      </c>
      <c r="O33" s="4">
        <v>55</v>
      </c>
      <c r="P33" s="4">
        <v>57.548131748550198</v>
      </c>
      <c r="Q33" s="5" t="s">
        <v>28</v>
      </c>
      <c r="R33" s="4">
        <v>14.8</v>
      </c>
      <c r="S33" s="5" t="s">
        <v>130</v>
      </c>
      <c r="T33" s="5" t="s">
        <v>30</v>
      </c>
      <c r="U33" s="5" t="s">
        <v>30</v>
      </c>
      <c r="V33" s="5" t="s">
        <v>30</v>
      </c>
      <c r="W33" s="5" t="s">
        <v>127</v>
      </c>
      <c r="X33" s="9"/>
      <c r="Y33" s="10">
        <f t="shared" si="0"/>
        <v>824</v>
      </c>
      <c r="AO33" s="1" cm="1">
        <f t="array" ref="AO33">VALUE(_xlfn.TEXTJOIN("",TRUE,IF((MID(AQ33,ROW($1:$49),1)&gt;="0")*(MID(AQ33,ROW($1:$49),1)&lt;="9") + (MID(AQ33,ROW($1:$49),1)="."), MID(AQ33,ROW($1:$49),1), "")))</f>
        <v>82.4</v>
      </c>
      <c r="AQ33" s="1" t="s">
        <v>130</v>
      </c>
    </row>
  </sheetData>
  <pageMargins left="1" right="1" top="1" bottom="1" header="0.25" footer="0.25"/>
  <pageSetup scale="62"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Reviewer </cp:lastModifiedBy>
  <cp:revision/>
  <cp:lastPrinted>2026-06-01T19:09:51Z</cp:lastPrinted>
  <dcterms:created xsi:type="dcterms:W3CDTF">2026-06-01T17:02:58Z</dcterms:created>
  <dcterms:modified xsi:type="dcterms:W3CDTF">2026-06-01T19:26:02Z</dcterms:modified>
  <cp:category/>
  <cp:contentStatus/>
</cp:coreProperties>
</file>